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zho097/Downloads/tosemMJ/repo/taxonomy development/validation/"/>
    </mc:Choice>
  </mc:AlternateContent>
  <xr:revisionPtr revIDLastSave="0" documentId="13_ncr:1_{BD21F191-0992-0843-A814-25FA09DDD523}" xr6:coauthVersionLast="47" xr6:coauthVersionMax="47" xr10:uidLastSave="{00000000-0000-0000-0000-000000000000}"/>
  <bookViews>
    <workbookView xWindow="960" yWindow="3840" windowWidth="25280" windowHeight="12040"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 l="1"/>
  <c r="F21" i="1"/>
  <c r="E22" i="1"/>
  <c r="E21" i="1"/>
  <c r="C15" i="1"/>
  <c r="E15" i="1"/>
  <c r="G15" i="1"/>
  <c r="A15" i="1"/>
</calcChain>
</file>

<file path=xl/sharedStrings.xml><?xml version="1.0" encoding="utf-8"?>
<sst xmlns="http://schemas.openxmlformats.org/spreadsheetml/2006/main" count="165" uniqueCount="133">
  <si>
    <t>b. Are there any major functional categories or architectural options you believe are missing? For example, are there any emerging trends from recent research or popular open-source agent frameworks that are not yet captured?</t>
  </si>
  <si>
    <t xml:space="preserve">b. Are there any existing functional categories that are unclear, should be renamed, or could be merged with others? </t>
  </si>
  <si>
    <t xml:space="preserve">b. Are there any existing non-functional categories that are unclear, should be renamed, or could be merged with others? </t>
  </si>
  <si>
    <t>3.1. Potential Overlapping Categories of 'Input Modality' and rationale:</t>
  </si>
  <si>
    <t>3.2. Potential Overlapping Categories of 'Context' and rationale:</t>
  </si>
  <si>
    <t>3.7. Potential Overlapping Categories of 'Action' and rationale:</t>
  </si>
  <si>
    <t>3.8. Potential Overlapping Categories of 'Reflection' and rationale:</t>
  </si>
  <si>
    <t>3.9. Potential Overlapping Categories of 'Learning Capability' and rationale:</t>
  </si>
  <si>
    <t>3.12. Potential Overlapping Categories of 'Performance' and rationale:</t>
  </si>
  <si>
    <t>3.13. Potential Overlapping Categories of 'Reliability' and rationale:</t>
  </si>
  <si>
    <t>3.14. Potential Overlapping Categories of 'Robustness' and rationale:</t>
  </si>
  <si>
    <t>3.15. Potential Overlapping Categories of 'Resilience' and rationale:</t>
  </si>
  <si>
    <t>3.16. Potential Overlapping Categories of 'Security' and rationale:</t>
  </si>
  <si>
    <t>3.17. Potential Overlapping Categories of 'Maintainability' and rationale:</t>
  </si>
  <si>
    <t>3.18. Potential Overlapping Categories of 'Responsible &amp; Trustworthy AI' and rationale:</t>
  </si>
  <si>
    <t>3.19. Potential Overlapping Categories of 'Usability' and rationale:</t>
  </si>
  <si>
    <t>3.20. Potential Overlapping Categories of 'Compatibility' and rationale:</t>
  </si>
  <si>
    <t xml:space="preserve">
4.1. Clarity of the Decision Model
a. On a scale of 1 (Very Unclear) to 5 (Very Clear), how clear is the Decision Matrix in illustrating the trade-offs between functional choices and their impact on non-functional qualities? </t>
  </si>
  <si>
    <t>b. Please provide a brief rationale for your clarity rating. What aspects of the matrix are particularly clear or unclear?</t>
  </si>
  <si>
    <t>4.2. Utility of the Decision Model
a. On a scale of 1 (Not at all Useful) to 5 (Extremely Useful), how useful do you believe this Decision Matrix would be for a software architect when designing a new FM-based agent?</t>
  </si>
  <si>
    <t>b. In what specific design scenarios do you see this matrix being most or least useful? For instance, are there certain types of agent systems or application domains where you believe this matrix would be less applicable?</t>
  </si>
  <si>
    <t xml:space="preserve">4.4. Suggestions for Improvement
Do you have any suggestions for improving the clarity or practical utility of the Decision Matrix? </t>
  </si>
  <si>
    <t>Do you have any other comments, suggestions, or feedback on this work?</t>
  </si>
  <si>
    <t>N/A</t>
  </si>
  <si>
    <t>Fully Distributed coordination presents the most challenging trade-off because, while it provides maximum fault tolerance (reliability), it makes system-wide monitoring and debugging extremely difficult (maintainability). The decision matrix clearly highlights this inverse relationship between these two qualities, making it the toughest compromise for your requirements.</t>
  </si>
  <si>
    <t>No</t>
  </si>
  <si>
    <t>I believe this matrix will be highly effective in FL agent systems.</t>
  </si>
  <si>
    <t>The Fully Distributed coordination model presents the most challenging trade-off in this scenario. This is primarily due to the high coordination cost, difficulty in ensuring consistency, and complex peer-to-peer communication required among agents.</t>
  </si>
  <si>
    <t>NO</t>
  </si>
  <si>
    <t xml:space="preserve">control the trace of agent </t>
  </si>
  <si>
    <t xml:space="preserve">flexibity to control trace of agent </t>
  </si>
  <si>
    <t>none</t>
  </si>
  <si>
    <t>Fully Distributed</t>
  </si>
  <si>
    <t>SIngle and Multi should be fine</t>
  </si>
  <si>
    <t>While the Fully Distributed pattern excels at fault tolerance, its complete lack of a manageable global state makes it the worst choice for this scenario. The trade-off is too extreme. The matrix makes this clear by highlighting the direct opposition between its "Fault Tolerance" strength and its "Global State" weakness.</t>
  </si>
  <si>
    <t>Merge Reflection subcategories, restructure Memory classifications, clarify the relationship between Tool and Planning Engine, avoid overlap between Coordination and Workflow, and distinguish Transparency, Explainability, and Observability.</t>
  </si>
  <si>
    <t>It is recommended to add non-functional dimensions such as cost and energy efficiency, broader ethics (value alignment), cross-platform interoperability, sustainability, and human-AI collaboration experience.</t>
  </si>
  <si>
    <t>Optimization suggestions: clarify and distinguish Transparency / Explainability / Observability, merge Robustness &amp; Resilience, and consolidate Maintainability / Modifiability / Reusability / Testability into a unified Software Engineering Quality subcategory.</t>
  </si>
  <si>
    <t>Input modality (e.g., single-modality, multi-modality) often inherently determines the type of context, which may blur category boundaries.</t>
  </si>
  <si>
    <t>Access to underlying models is closely related to the classification of single-model vs. multi-model composition, potentially causing redundancy.</t>
  </si>
  <si>
    <t>Goal types (task completion vs. communication) may directly influence how context is shared.</t>
  </si>
  <si>
    <t>The Decision Matrix is generally clear in showing how different functional design choices map to non-functional qualities. The tabular layout makes trade-offs visible at a glance, and the structured alignment of rows (functional aspects) against columns (quality attributes) supports comparative reasoning.</t>
  </si>
  <si>
    <t>The Decision Matrix would be quite useful for a software architect, especially as a design aid in the early stages of developing FM-based agents. It helps visualize how functional choices (e.g., input modality, coordination style, memory management) may positively or negatively influence non-functional qualities such as security, performance, or usability.</t>
  </si>
  <si>
    <t>It best satisfies Reliability (no single point of failure; agents can continue when one fails), but it makes Maintainability hardest: global state is emergent, debugging is decentralized, and diagnosing a stalled/failed agent requires robust telemetry, aggregation, and correlation across many nodes.
In the Decision Matrix terms, “Agent Coordination → Fully Distributed” tends to score high on reliability/resilience but low on observability/maintainability, forcing heavy investments in tracing, health checks, centralized logging, and state summarization to restore debuggability. The matrix helped by making these cross-impacts explicit along the Reliability–Maintainability axes and highlighting where mitigation (e.g., a supervisory control plane) is needed.
By contrast, Centralized improves Maintainability but jeopardizes Reliability (SPOF), and Federated often offers a workable middle ground with regional fault-tolerance plus manageable state views.</t>
  </si>
  <si>
    <t>Add impact weights &amp; confidence: let architects weight qualities (e.g., Reliability &gt; Maintainability) and include confidence/uncertainty per impact cell.
Provide mitigation patterns: for each harmful impact, list common design patterns (e.g., for Fully Distributed → add control plane, distributed tracing, circuit breakers).
Clarify adjacent qualities: explicitly differentiate Robustness vs. Resilience and Transparency vs. Observability vs. Explainability in the legend.
Domain presets: include templates for regulated, real-time, and edge scenarios that pre-weight qualities and typical coordination choices.
Cost/energy columns: add Cost/Energy to reflect operational reality for FM-based agents at scale.</t>
  </si>
  <si>
    <t xml:space="preserve">May be reasoning could be another major branch like Planning, below is just few idea:
Explicit reasoning: CoT, https://www.lesswrong.com/w/explicit-reasoning; and
Implicit reasoning: Implicit Reasoning in Large Language Models: A Comprehensive Survey https://arxiv.org/abs/2509.02350) </t>
  </si>
  <si>
    <t>Could MCP integrated in Action(Tool Calling)/Access to External Capabilities(Tool) Branch?</t>
  </si>
  <si>
    <t>accountability/scalability...</t>
  </si>
  <si>
    <t xml:space="preserve">Responsible &amp; Trustworthy AI quality attributes are well covered, while other high-level quality attributes (performance/...) worth further deep dive;
BTW, worth to have a look Google's white paper: Agents Companion https://www.kaggle.com/whitepaper-agent-companion </t>
  </si>
  <si>
    <t>NA</t>
  </si>
  <si>
    <t>Sorry, I didn't quite get the overall decision model, cuz current version is organised in excel file, not like a Figure to easy to understand and get all information easily.</t>
  </si>
  <si>
    <t>I think you can try/select specific several types of agents to test/evaluate the practical utility of the Decision Matrix (e.g., GUI agent (https://github.com/showlab/Awesome-GUI-Agent)/General AI Agent (e.g., manus) ...)</t>
  </si>
  <si>
    <t>Great Work! Can't wait to see further updating work.</t>
  </si>
  <si>
    <t>The taxonomy appears comprehensive</t>
  </si>
  <si>
    <t>Some terms like “Artifacts” and “Selective Forgetting” could be clarified.</t>
  </si>
  <si>
    <t>The taxonomy already covers most critical quality attributes. However, emerging considerations such as cost/energy efficiency, explicit ethics &amp; regulatory compliance, interoperability/standardization across heterogeneous tools, scalability, and safety guardrails are not yet fully captured and could be added to reflect recent trends in FM-based agent research and open-source frameworks.</t>
  </si>
  <si>
    <t>The taxonomy is generally clear and well-structured. However, Security and its CIA components could be merged; “Responsible &amp; Trustworthy AI” could be split into ethics-related and user-centric qualities for clarity; and “Observability” might be renamed to “Auditability/Monitoring” to avoid ambiguity. Maintainability, Modifiability, and Reusability could also be grouped under a single maintainability umbrella.</t>
  </si>
  <si>
    <t>This category solely concerns the types of input data an agent can accept (e.g., single- or multi-modality) and is conceptually independent from other categories in the taxonomy.</t>
  </si>
  <si>
    <t>This category describes whether an agent can directly access its underlying models (LLM or non-LLM). It conceptually overlaps with “Model Composition” (single-model vs. multi-model setups) and “Model Sourcing” (sovereign, partially sourced, or externally sourced AI), since all three concern the choice and configuration of underlying models. Without clear definitions, these areas may appear redundant.</t>
  </si>
  <si>
    <t>“Goal Type” classifies the kinds of objectives an agent pursues (e.g., task completion, communication, learning, planning). The inclusion of “planning” within Goal Type conceptually overlaps with the separate “Reasoning Process” and “Plan Generation” categories, which also address how an agent formulates and executes plans. Without clear boundaries, these areas may appear redundant.</t>
  </si>
  <si>
    <t>Planning” describes how an agent devises steps to achieve its objectives. This concept is closely tied to “Reasoning Process,” which often includes planning as part of inference, and to “Plan Generation,” which explicitly covers single- or multi-path plan creation. Without clear boundaries, these categories may appear to overlap.</t>
  </si>
  <si>
    <t>Action” refers to the execution of tasks or behaviors by an agent. This can conceptually overlap with “Agent Coordination,” where actions are coordinated among multiple agents, and with “Tool Calling,” where actions consist of invoking external tools or services. Without clear boundaries, these categories may appear to overlap.</t>
  </si>
  <si>
    <t>Reflection” refers to self-, cross-, human-, or environmental reflection on an agent’s processes and outputs. This concept overlaps with “Memory Management,” particularly “Memory Reflection,” where stored experiences are revisited, and with “Context,” which also involves analyzing and adjusting based on surrounding information. Without clear boundaries, these areas may appear redundant.</t>
  </si>
  <si>
    <t>“Learning Capability” refers to an agent’s ability to train or adapt (e.g., centralized training, collaborative learning, self-learning, in-context learning). This concept overlaps with “Group Learning,” which is a specific form of collaborative learning, and with “Memory Management,” since some learning mechanisms rely on storing and retrieving experiences. Without clear boundaries, these categories may appear to overlap.</t>
  </si>
  <si>
    <t>“Performance” captures how well an agent achieves its objectives. It conceptually overlaps with “Efficiency,” which measures resource usage for task completion, and with “Accuracy,” which measures correctness of outputs. Because these are often treated as sub-dimensions of overall performance, without clear definitions the categories may appear redundant.</t>
  </si>
  <si>
    <t>“Reliability” refers to the consistency of an agent’s operation over time. This concept overlaps with “Robustness,” which measures performance under stress or perturbations, and with “Resilience,” which emphasizes recovery from failures or disruptions. Without clear boundaries, these three qualities can be perceived as overlapping.</t>
  </si>
  <si>
    <t>Robustness” refers to an agent’s ability to maintain performance under stress, noise, or adversarial conditions. This concept overlaps with “Reliability,” which concerns consistent operation over time, and with “Resilience,” which focuses on recovery from disruptions. Without clear definitions, these three qualities can appear redundant.</t>
  </si>
  <si>
    <t>“Resilience” refers to an agent’s ability to recover from failures or disruptions and return to normal operation. This concept overlaps with “Reliability,” which emphasizes consistent functioning, and with “Robustness,” which focuses on maintaining performance under stress. Without clear definitions, these three qualities may appear redundant.</t>
  </si>
  <si>
    <t>“Security” represents the overall protection of an agent against threats. It conceptually overlaps with “Confidentiality,” “Integrity,” and “Availability,” which are often treated as the three core components of security (the CIA triad). Listing them separately without clarifying their hierarchical relationship may create redundancy.</t>
  </si>
  <si>
    <t>“Maintainability” refers to how easily an agent can be updated, fixed, or enhanced over time. This concept overlaps with “Modifiability,” which focuses on the ease of making changes, and with “Reusability,” which concerns designing components for reuse. Without clear definitions, these categories may appear redundant.</t>
  </si>
  <si>
    <t>Responsible &amp; Trustworthy AI” is an umbrella concept for ethical and trustworthy practices. It conceptually overlaps with its listed sub-attributes such as Privacy, Fairness, Transparency, Explainability, and Observability, which are all elements of responsible AI. Without clear boundaries or hierarchical structuring, the category may appear redundant with its sub-components.</t>
  </si>
  <si>
    <t>“Usability” refers to how easily and effectively end users can interact with an agent. This concept overlaps with “Compatibility,” which affects whether the agent can run across different platforms and environments (a prerequisite for usability), and with “Observability,” which influences how transparent and manageable the interface is for users. Without clear boundaries, these qualities may appear redundant.</t>
  </si>
  <si>
    <t>“Compatibility” refers to how well an agent functions across different platforms, systems, or environments. This concept overlaps with “Usability,” since cross-platform support often affects the user experience, and with “Interoperability” (if treated separately), which focuses on seamless integration with other tools and systems. Without clear definitions, these qualities may appear redundant.</t>
  </si>
  <si>
    <t>The Decision Matrix clearly maps functional choices to their effects on non-functional qualities, making the trade-offs easy to see at a high level.</t>
  </si>
  <si>
    <t>The Decision Matrix would be most useful in early-stage architecture and capability planning for FM-based agents, where designers must compare alternative functional features (e.g., memory types, tool-calling mechanisms, coordination models) and understand their impact on non-functional qualities such as security, performance, and reliability. It is especially valuable for complex or multi-agent systems, safety-critical domains, and regulated environments where trade-offs must be explicit and well-documented.</t>
  </si>
  <si>
    <t>Fully distributed coordination maximizes fault tolerance, but it disperses control and observability across many independent agents. This makes it harder to maintain a clear view of the system’s overall state and to diagnose issues quickly — exactly the opposite of the high maintainability requirement. In contrast, centralized or federated models provide a clearer single point for monitoring and debugging, even if they are less fault tolerant.</t>
  </si>
  <si>
    <t>all good</t>
  </si>
  <si>
    <t>Guardrails could be considered under Action. Uncertainty &amp; Trust Signaling could also be useful additions. Human-in-the-loop interaction could also be considered.</t>
  </si>
  <si>
    <t>Categories are clear.</t>
  </si>
  <si>
    <t>Sustainability / Energy Efficiency.
Frequently requested by industry; easy to add and distinct from “Cost.”
Controllability / Governability.
Distinct from “Safety/Security”: the ability to shape behavior via policy, rate-limits, kill-switches, stage gates. This reinforces the guardrail functional suggestions above.</t>
  </si>
  <si>
    <t>overall clear and effective</t>
  </si>
  <si>
    <t>Potential overlaps: Usability, Action (if modality drives invocation style), Compatibility (I/O formats).
Rationale: Users experience modality as part of UX; modality choices sometimes imply interface/integration constraints.</t>
  </si>
  <si>
    <t>Potential overlaps: Performance, Reliability, Security, Compatibility, Maintainability.
Rationale: Model access patterns (black-box vs. fine-grained control) strongly affect QoS, attack surface, ops surface.</t>
  </si>
  <si>
    <t>Potential overlaps: Planning (decomposition), Action (execution mode), Reflection (goal progress checks).
Rationale: Task vs. continuous goals change downstream mechanics.</t>
  </si>
  <si>
    <t>Potential overlaps: Action (runtime orchestration), Reflection (plan revision), Learning Capability (planning policy updates).
Rationale: Many stacks blur planning and execution.</t>
  </si>
  <si>
    <t>Potential overlaps: Access to External Capabilities (what can be called), Planning (what should be called), Security (policy enforcement), Reliability/Resilience (runtime guarantees).
Rationale: Execution is where qualities surface.</t>
  </si>
  <si>
    <t>Potential overlaps: Learning Capability (parameter/policy updates), Reliability (self-checks), Responsible &amp; Trustworthy AI (self-audit).
Rationale: Reflection can be within-run (self-check) vs. cross-run (learning).</t>
  </si>
  <si>
    <t>Potential overlaps: Maintainability (easier updating), Performance (improvements), Reliability (fewer failures).
Rationale: Learning changes future behavior and maintainability posture.</t>
  </si>
  <si>
    <t>Potential overlaps: Reliability (SLOs), Compatibility (overhead from adapters), Maintainability (operational simplicity).
Rationale: Latency/throughput can be confounded with uptime or integration friction.</t>
  </si>
  <si>
    <t>Potential overlaps: Robustness, Resilience, Security.
Rationale: Common triad confusion.</t>
  </si>
  <si>
    <t>Potential overlaps: Resilience, Security.
Rationale: Robustness is often used loosely.</t>
  </si>
  <si>
    <t>Potential overlaps: Reliability, Robustness.
Rationale: Recovery vs. steadiness.</t>
  </si>
  <si>
    <t>Potential overlaps: Responsible &amp; Trustworthy AI (safety, privacy), Maintainability (secure update), Compatibility (secure interop).
Rationale: Security pervades interfaces and lifecycle.</t>
  </si>
  <si>
    <t>Potential overlaps: Compatibility (dependency churn), Learning Capability (auto-adapt reduces ops toil), Usability (for developers/ops).
Rationale: Good interop and automation make systems easier to change.</t>
  </si>
  <si>
    <t>Potential overlaps: Security (abuse), Usability (transparency to users), Maintainability (auditability), Compatibility (provenance standards).
Rationale: RAI cuts across many layers.</t>
  </si>
  <si>
    <t>Potential overlaps: Input Modality, Role-playing (instruction style), Compatibility (UX breaks when interop fails).
Rationale: UX quality is influenced by interface choices.</t>
  </si>
  <si>
    <t>Potential overlaps: Access to External Capabilities (available tools), Access to Underlying Models (model APIs), Maintainability (upgrade burden).
Rationale: Interop is entangled with what you can call.</t>
  </si>
  <si>
    <t>The matrix makes the direction of impact from functional choices to NFRs easy to scan. Grouping by capability (e.g., Planning / Action / Coordination) lowers cognitive load, and the option granularity is appropriate for architectural work.
Planning vs. Action vs. Coordination rows are adjacent; without a brief scope note, trade-offs can appear duplicated.</t>
  </si>
  <si>
    <t>Most useful:
- Early architecture selection for agent coordination/invocation styles (centralized vs. federated vs. distributed) where Reliability/Resilience/Maintainability/Cost trade-offs dominate.
- Policy/guardrail placement decisions (e.g., where to put moderation, human-in-the-loop checkpoints) with implications for Safety, Security, Usability, and Performance.
- Runtime observability design (trace depth, provenance capture, auditability), especially when balancing Transparency/Observability against Cost/Performance.
Less useful (edge cases):
- Highly specialized hard-real-time or regulated embedded settings where constraints are extra-architectural (standards dictate many choices a priori).
- Single-purpose, short-lived prototypes where decision latency matters more than optimal trade-offs.</t>
  </si>
  <si>
    <t>Fully Distributed presents the most challenging trade-off.
Why: It maximizes fault tolerance and horizontal scalability, which favors Reliability/Resilience. But it degrades Maintainability and Observability: diagnosing stalls or Byzantine behaviors across many peers, each with partial state and no authoritative view, is expensive. Failure triage, replay, and provenance analysis are harder without central or tiered control planes.
How the matrix helped: The matrix makes explicit that moving from Centralized → Federated → Fully Distributed monotonically improves Resilience/Scalability but imposes increasing costs on Maintainability/Debuggability/Traceability (and often on Security hardening). Seeing these impacts side-by-side leads to a reasoned conclusion: Fully Distributed is the hardest to make maintainable under your constraints.</t>
  </si>
  <si>
    <t>For high-impact cells, include a footnote code to evidence (internal tests, papers, production post-mortems). This boosts trust and makes the matrix a living artifact.</t>
  </si>
  <si>
    <t>2.1. Functional Capabilities Taxonomy (Completeness)
a. On a scale of 1 (Strongly Disagree) to 5 (Strongly Agree), please rate your agreement with the following statement: "The Functional Capabilities taxonomy is comprehensive, covering the essential arch</t>
  </si>
  <si>
    <t xml:space="preserve">2.3. Non-functional Qualities Taxonomy (Completeness)
a. On a scale of 1 (Strongly Disagree) to 5 (Strongly Agree), please rate your agreement with the following statement: "The Non-functional Qualities taxonomy covers the critical quality attributes for </t>
  </si>
  <si>
    <t>b. Are there any critical non-functional qualities you believe are missing? (e.g., considerations for cost, ethics, interoperability, etc.) For example, are there any emerging trends from recent research or popular open-source agent frameworks that are no</t>
  </si>
  <si>
    <t>4.3. Practical Application Scenario
You are designing a system with a team of AI Analyst Agents to process thousands of online customer reviews for a new product. The core task for each agent is to use a Foundation Model to read a review, understand its s</t>
  </si>
  <si>
    <t>3.3. Potential Overlapping Categories of 'Role-playing' and rationale:</t>
  </si>
  <si>
    <t>3.4. Potential Overlapping Categories of 'Goal Type' and rationale:</t>
  </si>
  <si>
    <t>3.5. Potential Overlapping Categories of 'Planning' and rationale:</t>
  </si>
  <si>
    <t>3.6. Potential Overlapping Categories of 'Memory' and rationale:</t>
  </si>
  <si>
    <t>3.10. Potential Overlapping Categories of 'Workflow' and rationale:2</t>
  </si>
  <si>
    <t>3.11. Potential Overlapping Categories of 'Access to Underlying Model' and rationale:3</t>
  </si>
  <si>
    <t>It should be good to provide some more examples with the decision matrix.</t>
  </si>
  <si>
    <t xml:space="preserve">The decision matrix provides a good insightful fundemantal concept for the design of agent archtecture. </t>
  </si>
  <si>
    <t>Fully distributed.</t>
  </si>
  <si>
    <t>This taxonomy summarized the architecture design option of fm agents. I see this as a good foundation for the future fm agent development.</t>
  </si>
  <si>
    <t>Workflow category looks a bit abstract.</t>
  </si>
  <si>
    <t>Metric / Title</t>
  </si>
  <si>
    <t>Mean Score</t>
  </si>
  <si>
    <t>Standard Deviation</t>
  </si>
  <si>
    <t>Functional Capabilities - Completeness</t>
  </si>
  <si>
    <t>Functional Capabilities - Clarity &amp; Structure</t>
  </si>
  <si>
    <t>Non-functional Qualities - Completeness</t>
  </si>
  <si>
    <t>Non-functional Qualities - Clarity &amp; Structure</t>
  </si>
  <si>
    <t>Decision Model - Clarity</t>
  </si>
  <si>
    <t>Decision Model - Utility</t>
  </si>
  <si>
    <t>Completeness</t>
  </si>
  <si>
    <t>Correctness</t>
  </si>
  <si>
    <t>2.2. Feedback on Functional Capabilities (Correctness - Clarity &amp; Structure)
a. On a scale of 1 (Very Unclear) to 5 (Very Clear), please rate the overall clarity and structure of the Functional Capabilities taxonomy.</t>
  </si>
  <si>
    <t>2.4. Feedback on Non-functional Qualities (Correctness - Clarity &amp; Structure)
a. On a scale of 1 (Very Unclear) to 5 (Very Clear), please rate the overall clarity and structure of the Non-functional Qualities taxonomy.</t>
  </si>
  <si>
    <t>mean</t>
  </si>
  <si>
    <t>sd</t>
  </si>
  <si>
    <t>This decision matrix effectively makes the critical trade-offs explicit, which is often missing in academic frameworks.</t>
  </si>
  <si>
    <t>The future work could explore quantifying the impacts, which can confirm the model's value as a foundation for further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</si>
</sst>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amily val="2"/>
      <scheme val="minor"/>
    </font>
    <font>
      <sz val="10"/>
      <color theme="2"/>
      <name val="Arial"/>
      <family val="2"/>
      <scheme val="minor"/>
    </font>
    <font>
      <sz val="8"/>
      <name val="Arial"/>
      <family val="2"/>
      <scheme val="minor"/>
    </font>
    <font>
      <sz val="10"/>
      <color rgb="FF000000"/>
      <name val="Arial"/>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rgb="FF5B3F86"/>
      </left>
      <right style="thin">
        <color rgb="FF5B3F86"/>
      </right>
      <top style="thin">
        <color rgb="FF442F65"/>
      </top>
      <bottom/>
      <diagonal/>
    </border>
    <border>
      <left style="thin">
        <color indexed="64"/>
      </left>
      <right style="thin">
        <color indexed="64"/>
      </right>
      <top style="thin">
        <color indexed="64"/>
      </top>
      <bottom/>
      <diagonal/>
    </border>
  </borders>
  <cellStyleXfs count="1">
    <xf numFmtId="0" fontId="0" fillId="0" borderId="0"/>
  </cellStyleXfs>
  <cellXfs count="10">
    <xf numFmtId="0" fontId="0" fillId="0" borderId="0" xfId="0"/>
    <xf numFmtId="0" fontId="2" fillId="0" borderId="0" xfId="0" applyFont="1"/>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1" fillId="0" borderId="1" xfId="0" applyFont="1" applyBorder="1" applyAlignment="1">
      <alignment vertical="center"/>
    </xf>
    <xf numFmtId="0" fontId="0" fillId="0" borderId="1" xfId="0" applyBorder="1"/>
    <xf numFmtId="0" fontId="0" fillId="0" borderId="3" xfId="0" applyBorder="1"/>
    <xf numFmtId="0" fontId="1" fillId="0" borderId="3" xfId="0" applyFont="1" applyBorder="1" applyAlignment="1">
      <alignment vertical="center"/>
    </xf>
    <xf numFmtId="0" fontId="4" fillId="0" borderId="3" xfId="0" applyFont="1" applyBorder="1"/>
    <xf numFmtId="0" fontId="4" fillId="0" borderId="0" xfId="0" applyFont="1"/>
  </cellXfs>
  <cellStyles count="1">
    <cellStyle name="Normal" xfId="0" builtinId="0"/>
  </cellStyles>
  <dxfs count="39">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2"/>
        <name val="Arial"/>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38"/>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I13" headerRowDxfId="35">
  <tableColumns count="35">
    <tableColumn id="2" xr3:uid="{00000000-0010-0000-0000-000002000000}" name="2.1. Functional Capabilities Taxonomy (Completeness)_x000a_a. On a scale of 1 (Strongly Disagree) to 5 (Strongly Agree), please rate your agreement with the following statement: &quot;The Functional Capabilities taxonomy is comprehensive, covering the essential arch" dataDxfId="34"/>
    <tableColumn id="3" xr3:uid="{00000000-0010-0000-0000-000003000000}" name="b. Are there any major functional categories or architectural options you believe are missing? For example, are there any emerging trends from recent research or popular open-source agent frameworks that are not yet captured?" dataDxfId="33"/>
    <tableColumn id="4" xr3:uid="{00000000-0010-0000-0000-000004000000}" name="2.2. Feedback on Functional Capabilities (Correctness - Clarity &amp; Structure)_x000a_a. On a scale of 1 (Very Unclear) to 5 (Very Clear), please rate the overall clarity and structure of the Functional Capabilities taxonomy." dataDxfId="32"/>
    <tableColumn id="5" xr3:uid="{00000000-0010-0000-0000-000005000000}" name="b. Are there any existing functional categories that are unclear, should be renamed, or could be merged with others? " dataDxfId="31"/>
    <tableColumn id="6" xr3:uid="{00000000-0010-0000-0000-000006000000}" name="2.3. Non-functional Qualities Taxonomy (Completeness)_x000a_a. On a scale of 1 (Strongly Disagree) to 5 (Strongly Agree), please rate your agreement with the following statement: &quot;The Non-functional Qualities taxonomy covers the critical quality attributes for " dataDxfId="30"/>
    <tableColumn id="7" xr3:uid="{00000000-0010-0000-0000-000007000000}" name="b. Are there any critical non-functional qualities you believe are missing? (e.g., considerations for cost, ethics, interoperability, etc.) For example, are there any emerging trends from recent research or popular open-source agent frameworks that are no" dataDxfId="29"/>
    <tableColumn id="8" xr3:uid="{00000000-0010-0000-0000-000008000000}" name="2.4. Feedback on Non-functional Qualities (Correctness - Clarity &amp; Structure)_x000a_a. On a scale of 1 (Very Unclear) to 5 (Very Clear), please rate the overall clarity and structure of the Non-functional Qualities taxonomy." dataDxfId="28"/>
    <tableColumn id="9" xr3:uid="{00000000-0010-0000-0000-000009000000}" name="b. Are there any existing non-functional categories that are unclear, should be renamed, or could be merged with others? " dataDxfId="27"/>
    <tableColumn id="10" xr3:uid="{00000000-0010-0000-0000-00000A000000}" name="3.1. Potential Overlapping Categories of 'Input Modality' and rationale:" dataDxfId="26"/>
    <tableColumn id="11" xr3:uid="{00000000-0010-0000-0000-00000B000000}" name="3.2. Potential Overlapping Categories of 'Context' and rationale:" dataDxfId="25"/>
    <tableColumn id="13" xr3:uid="{00000000-0010-0000-0000-00000D000000}" name="3.3. Potential Overlapping Categories of 'Role-playing' and rationale:" dataDxfId="24"/>
    <tableColumn id="14" xr3:uid="{00000000-0010-0000-0000-00000E000000}" name="3.4. Potential Overlapping Categories of 'Goal Type' and rationale:" dataDxfId="23"/>
    <tableColumn id="15" xr3:uid="{00000000-0010-0000-0000-00000F000000}" name="3.5. Potential Overlapping Categories of 'Planning' and rationale:" dataDxfId="22"/>
    <tableColumn id="12" xr3:uid="{00000000-0010-0000-0000-00000C000000}" name="3.6. Potential Overlapping Categories of 'Memory' and rationale:" dataDxfId="21"/>
    <tableColumn id="16" xr3:uid="{00000000-0010-0000-0000-000010000000}" name="3.7. Potential Overlapping Categories of 'Action' and rationale:" dataDxfId="20"/>
    <tableColumn id="17" xr3:uid="{00000000-0010-0000-0000-000011000000}" name="3.8. Potential Overlapping Categories of 'Reflection' and rationale:" dataDxfId="19"/>
    <tableColumn id="18" xr3:uid="{00000000-0010-0000-0000-000012000000}" name="3.9. Potential Overlapping Categories of 'Learning Capability' and rationale:" dataDxfId="18"/>
    <tableColumn id="39" xr3:uid="{EC788F09-D485-0F4E-AB51-AE0655FC8673}" name="3.10. Potential Overlapping Categories of 'Workflow' and rationale:2" dataDxfId="17"/>
    <tableColumn id="40" xr3:uid="{2A36E7FD-8441-E642-88AA-0438FC548A46}" name="3.11. Potential Overlapping Categories of 'Access to Underlying Model' and rationale:3" dataDxfId="16"/>
    <tableColumn id="19" xr3:uid="{00000000-0010-0000-0000-000013000000}" name="3.12. Potential Overlapping Categories of 'Performance' and rationale:" dataDxfId="15"/>
    <tableColumn id="20" xr3:uid="{00000000-0010-0000-0000-000014000000}" name="3.13. Potential Overlapping Categories of 'Reliability' and rationale:" dataDxfId="14"/>
    <tableColumn id="21" xr3:uid="{00000000-0010-0000-0000-000015000000}" name="3.14. Potential Overlapping Categories of 'Robustness' and rationale:" dataDxfId="13"/>
    <tableColumn id="22" xr3:uid="{00000000-0010-0000-0000-000016000000}" name="3.15. Potential Overlapping Categories of 'Resilience' and rationale:" dataDxfId="12"/>
    <tableColumn id="23" xr3:uid="{00000000-0010-0000-0000-000017000000}" name="3.16. Potential Overlapping Categories of 'Security' and rationale:" dataDxfId="11"/>
    <tableColumn id="24" xr3:uid="{00000000-0010-0000-0000-000018000000}" name="3.17. Potential Overlapping Categories of 'Maintainability' and rationale:" dataDxfId="10"/>
    <tableColumn id="25" xr3:uid="{00000000-0010-0000-0000-000019000000}" name="3.18. Potential Overlapping Categories of 'Responsible &amp; Trustworthy AI' and rationale:" dataDxfId="9"/>
    <tableColumn id="26" xr3:uid="{00000000-0010-0000-0000-00001A000000}" name="3.19. Potential Overlapping Categories of 'Usability' and rationale:" dataDxfId="8"/>
    <tableColumn id="27" xr3:uid="{00000000-0010-0000-0000-00001B000000}" name="3.20. Potential Overlapping Categories of 'Compatibility' and rationale:" dataDxfId="7"/>
    <tableColumn id="28" xr3:uid="{00000000-0010-0000-0000-00001C000000}" name="_x000a_4.1. Clarity of the Decision Model_x000a_a. On a scale of 1 (Very Unclear) to 5 (Very Clear), how clear is the Decision Matrix in illustrating the trade-offs between functional choices and their impact on non-functional qualities? " dataDxfId="6"/>
    <tableColumn id="29" xr3:uid="{00000000-0010-0000-0000-00001D000000}" name="b. Please provide a brief rationale for your clarity rating. What aspects of the matrix are particularly clear or unclear?" dataDxfId="5"/>
    <tableColumn id="30" xr3:uid="{00000000-0010-0000-0000-00001E000000}" name="4.2. Utility of the Decision Model_x000a_a. On a scale of 1 (Not at all Useful) to 5 (Extremely Useful), how useful do you believe this Decision Matrix would be for a software architect when designing a new FM-based agent?" dataDxfId="4"/>
    <tableColumn id="31" xr3:uid="{00000000-0010-0000-0000-00001F000000}" name="b. In what specific design scenarios do you see this matrix being most or least useful? For instance, are there certain types of agent systems or application domains where you believe this matrix would be less applicable?" dataDxfId="3"/>
    <tableColumn id="32" xr3:uid="{00000000-0010-0000-0000-000020000000}" name="4.3. Practical Application Scenario_x000a_You are designing a system with a team of AI Analyst Agents to process thousands of online customer reviews for a new product. The core task for each agent is to use a Foundation Model to read a review, understand its s" dataDxfId="2"/>
    <tableColumn id="33" xr3:uid="{00000000-0010-0000-0000-000021000000}" name="4.4. Suggestions for Improvement_x000a_Do you have any suggestions for improving the clarity or practical utility of the Decision Matrix? " dataDxfId="1"/>
    <tableColumn id="34" xr3:uid="{00000000-0010-0000-0000-000022000000}" name="Do you have any other comments, suggestions, or feedback on this work?"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26"/>
  <sheetViews>
    <sheetView tabSelected="1" topLeftCell="Y1" workbookViewId="0">
      <pane ySplit="1" topLeftCell="A2" activePane="bottomLeft" state="frozen"/>
      <selection pane="bottomLeft" activeCell="AI13" sqref="AI13"/>
    </sheetView>
  </sheetViews>
  <sheetFormatPr baseColWidth="10" defaultColWidth="12.6640625" defaultRowHeight="15.75" customHeight="1" x14ac:dyDescent="0.15"/>
  <cols>
    <col min="1" max="1" width="12.5" customWidth="1"/>
    <col min="2" max="2" width="18.5" customWidth="1"/>
    <col min="3" max="3" width="15.1640625" customWidth="1"/>
    <col min="4" max="4" width="19.83203125" customWidth="1"/>
    <col min="5" max="5" width="18.5" customWidth="1"/>
    <col min="6" max="6" width="21.83203125" customWidth="1"/>
    <col min="7" max="7" width="10.5" customWidth="1"/>
    <col min="8" max="8" width="20.33203125" customWidth="1"/>
    <col min="9" max="9" width="17.33203125" customWidth="1"/>
    <col min="10" max="10" width="7.33203125" customWidth="1"/>
    <col min="11" max="11" width="10" customWidth="1"/>
    <col min="14" max="14" width="7.5" customWidth="1"/>
    <col min="16" max="16" width="8" customWidth="1"/>
    <col min="17" max="19" width="7.83203125" customWidth="1"/>
    <col min="20" max="20" width="10.33203125" customWidth="1"/>
    <col min="21" max="21" width="9.1640625" customWidth="1"/>
    <col min="22" max="22" width="7.6640625" customWidth="1"/>
    <col min="23" max="23" width="7" customWidth="1"/>
    <col min="24" max="24" width="8" customWidth="1"/>
    <col min="25" max="26" width="9.1640625" customWidth="1"/>
    <col min="27" max="27" width="10.1640625" customWidth="1"/>
    <col min="28" max="28" width="9.1640625" customWidth="1"/>
    <col min="29" max="29" width="10.5" customWidth="1"/>
    <col min="30" max="30" width="9.33203125" customWidth="1"/>
    <col min="31" max="32" width="9.5" customWidth="1"/>
    <col min="33" max="33" width="9.33203125" customWidth="1"/>
    <col min="34" max="34" width="8.1640625" customWidth="1"/>
    <col min="35" max="35" width="12" customWidth="1"/>
    <col min="36" max="44" width="18.83203125" customWidth="1"/>
  </cols>
  <sheetData>
    <row r="1" spans="1:35" s="1" customFormat="1" ht="99" customHeight="1" x14ac:dyDescent="0.15">
      <c r="A1" s="2" t="s">
        <v>101</v>
      </c>
      <c r="B1" s="3" t="s">
        <v>0</v>
      </c>
      <c r="C1" s="2" t="s">
        <v>127</v>
      </c>
      <c r="D1" s="3" t="s">
        <v>1</v>
      </c>
      <c r="E1" s="2" t="s">
        <v>102</v>
      </c>
      <c r="F1" s="3" t="s">
        <v>103</v>
      </c>
      <c r="G1" s="2" t="s">
        <v>128</v>
      </c>
      <c r="H1" s="3" t="s">
        <v>2</v>
      </c>
      <c r="I1" s="3" t="s">
        <v>3</v>
      </c>
      <c r="J1" s="3" t="s">
        <v>4</v>
      </c>
      <c r="K1" s="3" t="s">
        <v>105</v>
      </c>
      <c r="L1" s="3" t="s">
        <v>106</v>
      </c>
      <c r="M1" s="3" t="s">
        <v>107</v>
      </c>
      <c r="N1" s="3" t="s">
        <v>108</v>
      </c>
      <c r="O1" s="3" t="s">
        <v>5</v>
      </c>
      <c r="P1" s="3" t="s">
        <v>6</v>
      </c>
      <c r="Q1" s="3" t="s">
        <v>7</v>
      </c>
      <c r="R1" s="3" t="s">
        <v>109</v>
      </c>
      <c r="S1" s="3" t="s">
        <v>110</v>
      </c>
      <c r="T1" s="3" t="s">
        <v>8</v>
      </c>
      <c r="U1" s="3" t="s">
        <v>9</v>
      </c>
      <c r="V1" s="3" t="s">
        <v>10</v>
      </c>
      <c r="W1" s="3" t="s">
        <v>11</v>
      </c>
      <c r="X1" s="3" t="s">
        <v>12</v>
      </c>
      <c r="Y1" s="3" t="s">
        <v>13</v>
      </c>
      <c r="Z1" s="3" t="s">
        <v>14</v>
      </c>
      <c r="AA1" s="3" t="s">
        <v>15</v>
      </c>
      <c r="AB1" s="3" t="s">
        <v>16</v>
      </c>
      <c r="AC1" s="2" t="s">
        <v>17</v>
      </c>
      <c r="AD1" s="3" t="s">
        <v>18</v>
      </c>
      <c r="AE1" s="3" t="s">
        <v>19</v>
      </c>
      <c r="AF1" s="3" t="s">
        <v>20</v>
      </c>
      <c r="AG1" s="2" t="s">
        <v>104</v>
      </c>
      <c r="AH1" s="3" t="s">
        <v>21</v>
      </c>
      <c r="AI1" s="3" t="s">
        <v>22</v>
      </c>
    </row>
    <row r="2" spans="1:35" ht="15.75" customHeight="1" x14ac:dyDescent="0.15">
      <c r="A2" s="4">
        <v>5</v>
      </c>
      <c r="B2" s="4" t="s">
        <v>23</v>
      </c>
      <c r="C2" s="4">
        <v>5</v>
      </c>
      <c r="D2" s="4" t="s">
        <v>23</v>
      </c>
      <c r="E2" s="4">
        <v>5</v>
      </c>
      <c r="F2" s="4" t="s">
        <v>23</v>
      </c>
      <c r="G2" s="4">
        <v>5</v>
      </c>
      <c r="H2" s="4" t="s">
        <v>23</v>
      </c>
      <c r="I2" s="4"/>
      <c r="J2" s="4"/>
      <c r="K2" s="4"/>
      <c r="L2" s="4"/>
      <c r="M2" s="4"/>
      <c r="N2" s="4"/>
      <c r="O2" s="4"/>
      <c r="P2" s="4"/>
      <c r="Q2" s="4"/>
      <c r="R2" s="4"/>
      <c r="S2" s="4"/>
      <c r="T2" s="4"/>
      <c r="U2" s="4"/>
      <c r="V2" s="4"/>
      <c r="W2" s="4"/>
      <c r="X2" s="4"/>
      <c r="Y2" s="4"/>
      <c r="Z2" s="4"/>
      <c r="AA2" s="4"/>
      <c r="AB2" s="4"/>
      <c r="AC2" s="4">
        <v>5</v>
      </c>
      <c r="AD2" s="4"/>
      <c r="AE2" s="4">
        <v>5</v>
      </c>
      <c r="AF2" s="4"/>
      <c r="AG2" s="4" t="s">
        <v>24</v>
      </c>
      <c r="AH2" s="4"/>
      <c r="AI2" s="4"/>
    </row>
    <row r="3" spans="1:35" ht="15.75" customHeight="1" x14ac:dyDescent="0.15">
      <c r="A3" s="4">
        <v>5</v>
      </c>
      <c r="B3" s="4" t="s">
        <v>25</v>
      </c>
      <c r="C3" s="4">
        <v>5</v>
      </c>
      <c r="D3" s="4" t="s">
        <v>25</v>
      </c>
      <c r="E3" s="4">
        <v>5</v>
      </c>
      <c r="F3" s="4" t="s">
        <v>25</v>
      </c>
      <c r="G3" s="4">
        <v>5</v>
      </c>
      <c r="H3" s="4" t="s">
        <v>25</v>
      </c>
      <c r="I3" s="5"/>
      <c r="J3" s="5"/>
      <c r="K3" s="5"/>
      <c r="L3" s="5"/>
      <c r="M3" s="5"/>
      <c r="N3" s="5"/>
      <c r="O3" s="5"/>
      <c r="P3" s="5"/>
      <c r="Q3" s="5"/>
      <c r="R3" s="5"/>
      <c r="S3" s="5"/>
      <c r="T3" s="5"/>
      <c r="U3" s="5"/>
      <c r="V3" s="5"/>
      <c r="W3" s="5"/>
      <c r="X3" s="5"/>
      <c r="Y3" s="5"/>
      <c r="Z3" s="5"/>
      <c r="AA3" s="5"/>
      <c r="AB3" s="5"/>
      <c r="AC3" s="4">
        <v>5</v>
      </c>
      <c r="AD3" s="5"/>
      <c r="AE3" s="4">
        <v>5</v>
      </c>
      <c r="AF3" s="4" t="s">
        <v>26</v>
      </c>
      <c r="AG3" s="4" t="s">
        <v>27</v>
      </c>
      <c r="AH3" s="4" t="s">
        <v>28</v>
      </c>
      <c r="AI3" s="4" t="s">
        <v>25</v>
      </c>
    </row>
    <row r="4" spans="1:35" ht="15.75" customHeight="1" x14ac:dyDescent="0.15">
      <c r="A4" s="4">
        <v>5</v>
      </c>
      <c r="B4" s="4" t="s">
        <v>29</v>
      </c>
      <c r="C4" s="4">
        <v>3</v>
      </c>
      <c r="D4" s="5"/>
      <c r="E4" s="4">
        <v>3</v>
      </c>
      <c r="F4" s="4" t="s">
        <v>30</v>
      </c>
      <c r="G4" s="4">
        <v>3</v>
      </c>
      <c r="H4" s="4" t="s">
        <v>25</v>
      </c>
      <c r="I4" s="4" t="s">
        <v>31</v>
      </c>
      <c r="J4" s="4" t="s">
        <v>31</v>
      </c>
      <c r="K4" s="4"/>
      <c r="L4" s="5"/>
      <c r="M4" s="5"/>
      <c r="N4" s="4"/>
      <c r="O4" s="5"/>
      <c r="P4" s="5"/>
      <c r="Q4" s="5"/>
      <c r="R4" s="5"/>
      <c r="S4" s="5"/>
      <c r="T4" s="5"/>
      <c r="U4" s="5"/>
      <c r="V4" s="5"/>
      <c r="W4" s="5"/>
      <c r="X4" s="5"/>
      <c r="Y4" s="5"/>
      <c r="Z4" s="5"/>
      <c r="AA4" s="5"/>
      <c r="AB4" s="5"/>
      <c r="AC4" s="4">
        <v>3</v>
      </c>
      <c r="AD4" s="5"/>
      <c r="AE4" s="4">
        <v>3</v>
      </c>
      <c r="AF4" s="5"/>
      <c r="AG4" s="4" t="s">
        <v>32</v>
      </c>
      <c r="AH4" s="5"/>
      <c r="AI4" s="5"/>
    </row>
    <row r="5" spans="1:35" ht="15.75" customHeight="1" x14ac:dyDescent="0.15">
      <c r="A5" s="4">
        <v>4</v>
      </c>
      <c r="B5" s="4" t="s">
        <v>25</v>
      </c>
      <c r="C5" s="4">
        <v>5</v>
      </c>
      <c r="D5" s="4" t="s">
        <v>23</v>
      </c>
      <c r="E5" s="4">
        <v>4</v>
      </c>
      <c r="F5" s="5"/>
      <c r="G5" s="4">
        <v>4</v>
      </c>
      <c r="H5" s="5"/>
      <c r="I5" s="4" t="s">
        <v>33</v>
      </c>
      <c r="J5" s="5"/>
      <c r="K5" s="4"/>
      <c r="L5" s="5"/>
      <c r="M5" s="4"/>
      <c r="N5" s="4"/>
      <c r="O5" s="4"/>
      <c r="P5" s="4"/>
      <c r="Q5" s="5"/>
      <c r="R5" s="5"/>
      <c r="S5" s="5"/>
      <c r="T5" s="4"/>
      <c r="U5" s="5"/>
      <c r="V5" s="4"/>
      <c r="W5" s="5"/>
      <c r="X5" s="4"/>
      <c r="Y5" s="4"/>
      <c r="Z5" s="5"/>
      <c r="AA5" s="4"/>
      <c r="AB5" s="4"/>
      <c r="AC5" s="4">
        <v>4</v>
      </c>
      <c r="AD5" s="5"/>
      <c r="AE5" s="4">
        <v>5</v>
      </c>
      <c r="AF5" s="5"/>
      <c r="AG5" s="4" t="s">
        <v>34</v>
      </c>
      <c r="AH5" s="5"/>
      <c r="AI5" s="5"/>
    </row>
    <row r="6" spans="1:35" ht="15.75" customHeight="1" x14ac:dyDescent="0.15">
      <c r="A6" s="4">
        <v>5</v>
      </c>
      <c r="B6" s="5"/>
      <c r="C6" s="4">
        <v>4</v>
      </c>
      <c r="D6" s="4" t="s">
        <v>35</v>
      </c>
      <c r="E6" s="4">
        <v>4</v>
      </c>
      <c r="F6" s="4" t="s">
        <v>36</v>
      </c>
      <c r="G6" s="4">
        <v>4</v>
      </c>
      <c r="H6" s="4" t="s">
        <v>37</v>
      </c>
      <c r="I6" s="4" t="s">
        <v>38</v>
      </c>
      <c r="J6" s="4" t="s">
        <v>39</v>
      </c>
      <c r="K6" s="5"/>
      <c r="L6" s="4" t="s">
        <v>40</v>
      </c>
      <c r="M6" s="5"/>
      <c r="N6" s="5"/>
      <c r="O6" s="5"/>
      <c r="P6" s="5"/>
      <c r="Q6" s="5"/>
      <c r="R6" s="5"/>
      <c r="S6" s="5"/>
      <c r="T6" s="5"/>
      <c r="U6" s="5"/>
      <c r="V6" s="5"/>
      <c r="W6" s="5"/>
      <c r="X6" s="5"/>
      <c r="Y6" s="5"/>
      <c r="Z6" s="5"/>
      <c r="AA6" s="5"/>
      <c r="AB6" s="5"/>
      <c r="AC6" s="4">
        <v>4</v>
      </c>
      <c r="AD6" s="4" t="s">
        <v>41</v>
      </c>
      <c r="AE6" s="4">
        <v>4</v>
      </c>
      <c r="AF6" s="4" t="s">
        <v>42</v>
      </c>
      <c r="AG6" s="4" t="s">
        <v>43</v>
      </c>
      <c r="AH6" s="4" t="s">
        <v>44</v>
      </c>
      <c r="AI6" s="5"/>
    </row>
    <row r="7" spans="1:35" ht="15.75" customHeight="1" x14ac:dyDescent="0.15">
      <c r="A7" s="4">
        <v>5</v>
      </c>
      <c r="B7" s="4" t="s">
        <v>45</v>
      </c>
      <c r="C7" s="4">
        <v>5</v>
      </c>
      <c r="D7" s="4" t="s">
        <v>46</v>
      </c>
      <c r="E7" s="4">
        <v>4</v>
      </c>
      <c r="F7" s="4" t="s">
        <v>47</v>
      </c>
      <c r="G7" s="4">
        <v>4</v>
      </c>
      <c r="H7" s="4" t="s">
        <v>48</v>
      </c>
      <c r="I7" s="4" t="s">
        <v>49</v>
      </c>
      <c r="J7" s="4" t="s">
        <v>49</v>
      </c>
      <c r="K7" s="4"/>
      <c r="L7" s="4" t="s">
        <v>49</v>
      </c>
      <c r="M7" s="4" t="s">
        <v>49</v>
      </c>
      <c r="N7" s="4"/>
      <c r="O7" s="4" t="s">
        <v>49</v>
      </c>
      <c r="P7" s="4" t="s">
        <v>49</v>
      </c>
      <c r="Q7" s="4" t="s">
        <v>49</v>
      </c>
      <c r="R7" s="4"/>
      <c r="S7" s="4"/>
      <c r="T7" s="4" t="s">
        <v>49</v>
      </c>
      <c r="U7" s="4" t="s">
        <v>49</v>
      </c>
      <c r="V7" s="4" t="s">
        <v>49</v>
      </c>
      <c r="W7" s="4" t="s">
        <v>49</v>
      </c>
      <c r="X7" s="4" t="s">
        <v>49</v>
      </c>
      <c r="Y7" s="4" t="s">
        <v>49</v>
      </c>
      <c r="Z7" s="4" t="s">
        <v>49</v>
      </c>
      <c r="AA7" s="4" t="s">
        <v>49</v>
      </c>
      <c r="AB7" s="4" t="s">
        <v>49</v>
      </c>
      <c r="AC7" s="4">
        <v>3</v>
      </c>
      <c r="AD7" s="4" t="s">
        <v>50</v>
      </c>
      <c r="AE7" s="4">
        <v>4</v>
      </c>
      <c r="AF7" s="4" t="s">
        <v>49</v>
      </c>
      <c r="AG7" s="4" t="s">
        <v>49</v>
      </c>
      <c r="AH7" s="4" t="s">
        <v>51</v>
      </c>
      <c r="AI7" s="4" t="s">
        <v>52</v>
      </c>
    </row>
    <row r="8" spans="1:35" ht="15.75" customHeight="1" x14ac:dyDescent="0.15">
      <c r="A8" s="4">
        <v>4</v>
      </c>
      <c r="B8" s="4" t="s">
        <v>53</v>
      </c>
      <c r="C8" s="4">
        <v>4</v>
      </c>
      <c r="D8" s="4" t="s">
        <v>54</v>
      </c>
      <c r="E8" s="4">
        <v>4</v>
      </c>
      <c r="F8" s="4" t="s">
        <v>55</v>
      </c>
      <c r="G8" s="4">
        <v>4</v>
      </c>
      <c r="H8" s="4" t="s">
        <v>56</v>
      </c>
      <c r="I8" s="4" t="s">
        <v>57</v>
      </c>
      <c r="J8" s="4" t="s">
        <v>58</v>
      </c>
      <c r="K8" s="4"/>
      <c r="L8" s="4" t="s">
        <v>59</v>
      </c>
      <c r="M8" s="4" t="s">
        <v>60</v>
      </c>
      <c r="N8" s="4"/>
      <c r="O8" s="4" t="s">
        <v>61</v>
      </c>
      <c r="P8" s="4" t="s">
        <v>62</v>
      </c>
      <c r="Q8" s="4" t="s">
        <v>63</v>
      </c>
      <c r="R8" s="4"/>
      <c r="S8" s="4"/>
      <c r="T8" s="4" t="s">
        <v>64</v>
      </c>
      <c r="U8" s="4" t="s">
        <v>65</v>
      </c>
      <c r="V8" s="4" t="s">
        <v>66</v>
      </c>
      <c r="W8" s="4" t="s">
        <v>67</v>
      </c>
      <c r="X8" s="4" t="s">
        <v>68</v>
      </c>
      <c r="Y8" s="4" t="s">
        <v>69</v>
      </c>
      <c r="Z8" s="4" t="s">
        <v>70</v>
      </c>
      <c r="AA8" s="4" t="s">
        <v>71</v>
      </c>
      <c r="AB8" s="4" t="s">
        <v>72</v>
      </c>
      <c r="AC8" s="4">
        <v>4</v>
      </c>
      <c r="AD8" s="4" t="s">
        <v>73</v>
      </c>
      <c r="AE8" s="4">
        <v>4</v>
      </c>
      <c r="AF8" s="4" t="s">
        <v>74</v>
      </c>
      <c r="AG8" s="4" t="s">
        <v>75</v>
      </c>
      <c r="AH8" s="5"/>
      <c r="AI8" s="4" t="s">
        <v>76</v>
      </c>
    </row>
    <row r="9" spans="1:35" ht="15.75" customHeight="1" x14ac:dyDescent="0.15">
      <c r="A9" s="4">
        <v>5</v>
      </c>
      <c r="B9" s="4" t="s">
        <v>77</v>
      </c>
      <c r="C9" s="4">
        <v>5</v>
      </c>
      <c r="D9" s="4" t="s">
        <v>78</v>
      </c>
      <c r="E9" s="4">
        <v>5</v>
      </c>
      <c r="F9" s="4" t="s">
        <v>79</v>
      </c>
      <c r="G9" s="4">
        <v>5</v>
      </c>
      <c r="H9" s="4" t="s">
        <v>80</v>
      </c>
      <c r="I9" s="4" t="s">
        <v>81</v>
      </c>
      <c r="J9" s="4" t="s">
        <v>82</v>
      </c>
      <c r="K9" s="5"/>
      <c r="L9" s="4" t="s">
        <v>83</v>
      </c>
      <c r="M9" s="4" t="s">
        <v>84</v>
      </c>
      <c r="N9" s="5"/>
      <c r="O9" s="4" t="s">
        <v>85</v>
      </c>
      <c r="P9" s="4" t="s">
        <v>86</v>
      </c>
      <c r="Q9" s="4" t="s">
        <v>87</v>
      </c>
      <c r="R9" s="4"/>
      <c r="S9" s="4"/>
      <c r="T9" s="4" t="s">
        <v>88</v>
      </c>
      <c r="U9" s="4" t="s">
        <v>89</v>
      </c>
      <c r="V9" s="4" t="s">
        <v>90</v>
      </c>
      <c r="W9" s="4" t="s">
        <v>91</v>
      </c>
      <c r="X9" s="4" t="s">
        <v>92</v>
      </c>
      <c r="Y9" s="4" t="s">
        <v>93</v>
      </c>
      <c r="Z9" s="4" t="s">
        <v>94</v>
      </c>
      <c r="AA9" s="4" t="s">
        <v>95</v>
      </c>
      <c r="AB9" s="4" t="s">
        <v>96</v>
      </c>
      <c r="AC9" s="4">
        <v>4</v>
      </c>
      <c r="AD9" s="4" t="s">
        <v>97</v>
      </c>
      <c r="AE9" s="4">
        <v>5</v>
      </c>
      <c r="AF9" s="4" t="s">
        <v>98</v>
      </c>
      <c r="AG9" s="4" t="s">
        <v>99</v>
      </c>
      <c r="AH9" s="4" t="s">
        <v>100</v>
      </c>
      <c r="AI9" s="4" t="s">
        <v>25</v>
      </c>
    </row>
    <row r="10" spans="1:35" ht="15.75" customHeight="1" x14ac:dyDescent="0.15">
      <c r="A10" s="6">
        <v>5</v>
      </c>
      <c r="B10" s="6"/>
      <c r="C10" s="6">
        <v>5</v>
      </c>
      <c r="D10" s="6"/>
      <c r="E10" s="6">
        <v>5</v>
      </c>
      <c r="F10" s="6"/>
      <c r="G10" s="6">
        <v>5</v>
      </c>
      <c r="H10" s="6"/>
      <c r="I10" s="6"/>
      <c r="J10" s="6"/>
      <c r="K10" s="6"/>
      <c r="L10" s="6"/>
      <c r="M10" s="7"/>
      <c r="N10" s="6"/>
      <c r="O10" s="6"/>
      <c r="P10" s="6"/>
      <c r="Q10" s="6"/>
      <c r="R10" s="6"/>
      <c r="S10" s="6"/>
      <c r="T10" s="6"/>
      <c r="U10" s="6"/>
      <c r="V10" s="6"/>
      <c r="W10" s="6"/>
      <c r="X10" s="6"/>
      <c r="Y10" s="6"/>
      <c r="Z10" s="6"/>
      <c r="AA10" s="6"/>
      <c r="AB10" s="6"/>
      <c r="AC10" s="6">
        <v>5</v>
      </c>
      <c r="AD10" s="8" t="s">
        <v>131</v>
      </c>
      <c r="AE10" s="6">
        <v>5</v>
      </c>
      <c r="AF10" s="6"/>
      <c r="AG10" s="6"/>
      <c r="AH10" s="8" t="s">
        <v>132</v>
      </c>
      <c r="AI10" s="6"/>
    </row>
    <row r="11" spans="1:35" ht="15.75" customHeight="1" x14ac:dyDescent="0.15">
      <c r="A11" s="6">
        <v>5</v>
      </c>
      <c r="B11" s="6"/>
      <c r="C11" s="6">
        <v>5</v>
      </c>
      <c r="D11" s="6"/>
      <c r="E11" s="6">
        <v>5</v>
      </c>
      <c r="F11" s="6"/>
      <c r="G11" s="6">
        <v>5</v>
      </c>
      <c r="H11" s="8" t="s">
        <v>23</v>
      </c>
      <c r="I11" s="6"/>
      <c r="J11" s="6"/>
      <c r="K11" s="6"/>
      <c r="L11" s="6"/>
      <c r="M11" s="7"/>
      <c r="N11" s="6"/>
      <c r="O11" s="6"/>
      <c r="P11" s="6"/>
      <c r="Q11" s="6"/>
      <c r="R11" s="8" t="s">
        <v>115</v>
      </c>
      <c r="S11" s="6"/>
      <c r="T11" s="6"/>
      <c r="U11" s="6"/>
      <c r="V11" s="6"/>
      <c r="W11" s="6"/>
      <c r="X11" s="6"/>
      <c r="Y11" s="6"/>
      <c r="Z11" s="6"/>
      <c r="AA11" s="6"/>
      <c r="AB11" s="6"/>
      <c r="AC11" s="6">
        <v>5</v>
      </c>
      <c r="AD11" s="6"/>
      <c r="AE11" s="6">
        <v>5</v>
      </c>
      <c r="AF11" s="6"/>
      <c r="AG11" s="6"/>
      <c r="AH11" s="6"/>
      <c r="AI11" s="6"/>
    </row>
    <row r="12" spans="1:35" ht="15.75" customHeight="1" x14ac:dyDescent="0.15">
      <c r="A12" s="6">
        <v>5</v>
      </c>
      <c r="B12" s="6"/>
      <c r="C12" s="6">
        <v>5</v>
      </c>
      <c r="D12" s="6"/>
      <c r="E12" s="6">
        <v>5</v>
      </c>
      <c r="F12" s="6"/>
      <c r="G12" s="6">
        <v>4</v>
      </c>
      <c r="H12" s="8" t="s">
        <v>23</v>
      </c>
      <c r="I12" s="6"/>
      <c r="J12" s="6"/>
      <c r="K12" s="6"/>
      <c r="L12" s="6"/>
      <c r="M12" s="7"/>
      <c r="N12" s="6"/>
      <c r="O12" s="6"/>
      <c r="P12" s="6"/>
      <c r="Q12" s="6"/>
      <c r="R12" s="6"/>
      <c r="S12" s="6"/>
      <c r="T12" s="6"/>
      <c r="U12" s="6"/>
      <c r="V12" s="6"/>
      <c r="W12" s="6"/>
      <c r="X12" s="6"/>
      <c r="Y12" s="6"/>
      <c r="Z12" s="6"/>
      <c r="AA12" s="6"/>
      <c r="AB12" s="6"/>
      <c r="AC12" s="6">
        <v>4</v>
      </c>
      <c r="AD12" s="8" t="s">
        <v>111</v>
      </c>
      <c r="AE12" s="6">
        <v>5</v>
      </c>
      <c r="AF12" s="8" t="s">
        <v>112</v>
      </c>
      <c r="AG12" s="8" t="s">
        <v>113</v>
      </c>
      <c r="AH12" s="6"/>
      <c r="AI12" s="8" t="s">
        <v>114</v>
      </c>
    </row>
    <row r="13" spans="1:35" ht="15.75" customHeight="1" x14ac:dyDescent="0.15">
      <c r="A13" s="6">
        <v>5</v>
      </c>
      <c r="B13" s="6"/>
      <c r="C13" s="6">
        <v>5</v>
      </c>
      <c r="D13" s="6"/>
      <c r="E13" s="6">
        <v>5</v>
      </c>
      <c r="F13" s="6"/>
      <c r="G13" s="6">
        <v>5</v>
      </c>
      <c r="H13" s="4" t="s">
        <v>25</v>
      </c>
      <c r="I13" s="6"/>
      <c r="J13" s="6"/>
      <c r="K13" s="6"/>
      <c r="L13" s="6"/>
      <c r="M13" s="7"/>
      <c r="N13" s="6"/>
      <c r="O13" s="6"/>
      <c r="P13" s="6"/>
      <c r="Q13" s="6"/>
      <c r="R13" s="6"/>
      <c r="S13" s="6"/>
      <c r="T13" s="6"/>
      <c r="U13" s="6"/>
      <c r="V13" s="6"/>
      <c r="W13" s="6"/>
      <c r="X13" s="6"/>
      <c r="Y13" s="6"/>
      <c r="Z13" s="6"/>
      <c r="AA13" s="6"/>
      <c r="AB13" s="6"/>
      <c r="AC13" s="6">
        <v>5</v>
      </c>
      <c r="AD13" s="6"/>
      <c r="AE13" s="6">
        <v>5</v>
      </c>
      <c r="AF13" s="6"/>
      <c r="AG13" s="6"/>
      <c r="AH13" s="6"/>
      <c r="AI13" s="6"/>
    </row>
    <row r="15" spans="1:35" ht="15.75" customHeight="1" x14ac:dyDescent="0.15">
      <c r="A15">
        <f>AVERAGE(Form_Responses[2.1. Functional Capabilities Taxonomy (Completeness)
a. On a scale of 1 (Strongly Disagree) to 5 (Strongly Agree), please rate your agreement with the following statement: "The Functional Capabilities taxonomy is comprehensive, covering the essential arch])</f>
        <v>4.833333333333333</v>
      </c>
      <c r="C15">
        <f>AVERAGE(Form_Responses[2.2. Feedback on Functional Capabilities (Correctness - Clarity &amp; Structure)
a. On a scale of 1 (Very Unclear) to 5 (Very Clear), please rate the overall clarity and structure of the Functional Capabilities taxonomy.])</f>
        <v>4.666666666666667</v>
      </c>
      <c r="E15">
        <f>AVERAGE(Form_Responses[2.3. Non-functional Qualities Taxonomy (Completeness)
a. On a scale of 1 (Strongly Disagree) to 5 (Strongly Agree), please rate your agreement with the following statement: "The Non-functional Qualities taxonomy covers the critical quality attributes for ])</f>
        <v>4.5</v>
      </c>
      <c r="G15">
        <f>AVERAGE(Form_Responses[2.4. Feedback on Non-functional Qualities (Correctness - Clarity &amp; Structure)
a. On a scale of 1 (Very Unclear) to 5 (Very Clear), please rate the overall clarity and structure of the Non-functional Qualities taxonomy.])</f>
        <v>4.416666666666667</v>
      </c>
    </row>
    <row r="20" spans="1:6" ht="15.75" customHeight="1" x14ac:dyDescent="0.15">
      <c r="A20" s="9" t="s">
        <v>116</v>
      </c>
      <c r="B20" s="9" t="s">
        <v>117</v>
      </c>
      <c r="C20" s="9" t="s">
        <v>118</v>
      </c>
      <c r="E20" s="9" t="s">
        <v>129</v>
      </c>
      <c r="F20" s="9" t="s">
        <v>130</v>
      </c>
    </row>
    <row r="21" spans="1:6" ht="15.75" customHeight="1" x14ac:dyDescent="0.15">
      <c r="A21" s="9" t="s">
        <v>119</v>
      </c>
      <c r="B21" s="9">
        <v>4.83</v>
      </c>
      <c r="C21" s="9">
        <v>0.39</v>
      </c>
      <c r="D21" s="9" t="s">
        <v>125</v>
      </c>
      <c r="E21">
        <f>AVERAGE(B21,B23)</f>
        <v>4.625</v>
      </c>
      <c r="F21">
        <f>AVERAGE(C21,C23)</f>
        <v>0.53</v>
      </c>
    </row>
    <row r="22" spans="1:6" ht="15.75" customHeight="1" x14ac:dyDescent="0.15">
      <c r="A22" s="9" t="s">
        <v>120</v>
      </c>
      <c r="B22" s="9">
        <v>4.67</v>
      </c>
      <c r="C22" s="9">
        <v>0.65</v>
      </c>
      <c r="D22" s="9" t="s">
        <v>126</v>
      </c>
      <c r="E22">
        <f>AVERAGE(B22, B24)</f>
        <v>4.585</v>
      </c>
      <c r="F22">
        <f>AVERAGE(C22,C24)</f>
        <v>0.66</v>
      </c>
    </row>
    <row r="23" spans="1:6" ht="15.75" customHeight="1" x14ac:dyDescent="0.15">
      <c r="A23" s="9" t="s">
        <v>121</v>
      </c>
      <c r="B23" s="9">
        <v>4.42</v>
      </c>
      <c r="C23" s="9">
        <v>0.67</v>
      </c>
    </row>
    <row r="24" spans="1:6" ht="15.75" customHeight="1" x14ac:dyDescent="0.15">
      <c r="A24" s="9" t="s">
        <v>122</v>
      </c>
      <c r="B24" s="9">
        <v>4.5</v>
      </c>
      <c r="C24" s="9">
        <v>0.67</v>
      </c>
    </row>
    <row r="25" spans="1:6" ht="15.75" customHeight="1" x14ac:dyDescent="0.15">
      <c r="A25" s="9" t="s">
        <v>123</v>
      </c>
      <c r="B25" s="9">
        <v>4.17</v>
      </c>
      <c r="C25" s="9">
        <v>0.72</v>
      </c>
    </row>
    <row r="26" spans="1:6" ht="15.75" customHeight="1" x14ac:dyDescent="0.15">
      <c r="A26" s="9" t="s">
        <v>124</v>
      </c>
      <c r="B26" s="9">
        <v>4.58</v>
      </c>
      <c r="C26" s="9">
        <v>0.67</v>
      </c>
    </row>
  </sheetData>
  <phoneticPr fontId="3" type="noConversion"/>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Zhou, Helen (Data61, Clayton)</cp:lastModifiedBy>
  <dcterms:created xsi:type="dcterms:W3CDTF">2025-09-18T06:37:11Z</dcterms:created>
  <dcterms:modified xsi:type="dcterms:W3CDTF">2025-09-18T11:45:30Z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2025-09-18T06:22:02Z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59ec031e-b4d3-4794-b998-1a1e58c3db3d</vt:lpwstr>
  </property>
  <property fmtid="{D5CDD505-2E9C-101B-9397-08002B2CF9AE}" pid="8" name="MSIP_Label_0ad370f1-5840-4c36-bb65-89acaaf849ca_ContentBits">
    <vt:lpwstr>3</vt:lpwstr>
  </property>
  <property fmtid="{D5CDD505-2E9C-101B-9397-08002B2CF9AE}" pid="9" name="MSIP_Label_0ad370f1-5840-4c36-bb65-89acaaf849ca_Tag">
    <vt:lpwstr>50, 0, 1, 1</vt:lpwstr>
  </property>
</Properties>
</file>